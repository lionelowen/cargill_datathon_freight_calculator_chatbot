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13_ncr:1_{CE26FD44-3D7D-4A9F-8730-6080CFAE5B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6" i="1"/>
  <c r="W3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 l="1"/>
</calcChain>
</file>

<file path=xl/sharedStrings.xml><?xml version="1.0" encoding="utf-8"?>
<sst xmlns="http://schemas.openxmlformats.org/spreadsheetml/2006/main" count="129" uniqueCount="79">
  <si>
    <t>Rio Tinto</t>
  </si>
  <si>
    <t>Iron Ore</t>
  </si>
  <si>
    <t>Vale</t>
  </si>
  <si>
    <t>Anglo American</t>
  </si>
  <si>
    <t>Adaro</t>
  </si>
  <si>
    <t>Thermal Coal</t>
  </si>
  <si>
    <t>Teck Resources</t>
  </si>
  <si>
    <t>Coking Coal</t>
  </si>
  <si>
    <t>Guinea Alumina Corp</t>
  </si>
  <si>
    <t>Bauxite</t>
  </si>
  <si>
    <t>BHP</t>
  </si>
  <si>
    <t>Vale Malaysia</t>
  </si>
  <si>
    <t xml:space="preserve">China </t>
  </si>
  <si>
    <t xml:space="preserve">India </t>
  </si>
  <si>
    <t xml:space="preserve">South Korea </t>
  </si>
  <si>
    <t xml:space="preserve">Malaysia </t>
  </si>
  <si>
    <t>Australia</t>
  </si>
  <si>
    <t>Brazil</t>
  </si>
  <si>
    <t>South Africa</t>
  </si>
  <si>
    <t>Indonesia</t>
  </si>
  <si>
    <t>Canada</t>
  </si>
  <si>
    <t>West Africa</t>
  </si>
  <si>
    <t>start_route</t>
  </si>
  <si>
    <t>end_route</t>
  </si>
  <si>
    <t>customer</t>
  </si>
  <si>
    <t>commodity</t>
  </si>
  <si>
    <t>qty_mt</t>
  </si>
  <si>
    <t>tolerance_pct</t>
  </si>
  <si>
    <t xml:space="preserve"> 10% </t>
  </si>
  <si>
    <t>min_qty_mt</t>
  </si>
  <si>
    <t>max_qty_mt</t>
  </si>
  <si>
    <t>option</t>
  </si>
  <si>
    <t>MOLOO</t>
  </si>
  <si>
    <t>special_clause</t>
  </si>
  <si>
    <t>earliest_date</t>
  </si>
  <si>
    <t>latest_date</t>
  </si>
  <si>
    <t>load_port</t>
  </si>
  <si>
    <t>DAMPIER</t>
  </si>
  <si>
    <t>PONTA DA MADEIRA</t>
  </si>
  <si>
    <t>SALDANHA BAY</t>
  </si>
  <si>
    <t>TABONEO</t>
  </si>
  <si>
    <t>VANCOUVER</t>
  </si>
  <si>
    <t>PORT HEDLAND</t>
  </si>
  <si>
    <t>TUBARÃO</t>
  </si>
  <si>
    <t>freight_rate</t>
  </si>
  <si>
    <t>loading_rate</t>
  </si>
  <si>
    <t>loading_turn_time_hr</t>
  </si>
  <si>
    <t xml:space="preserve"> 12</t>
  </si>
  <si>
    <t xml:space="preserve"> 6</t>
  </si>
  <si>
    <t>Anchorage Loading</t>
  </si>
  <si>
    <t>KAMSAR ANCHORAGE</t>
  </si>
  <si>
    <t>80,000</t>
  </si>
  <si>
    <t>60,000</t>
  </si>
  <si>
    <t>55,000</t>
  </si>
  <si>
    <t>35,000</t>
  </si>
  <si>
    <t>45,000</t>
  </si>
  <si>
    <t>30,000</t>
  </si>
  <si>
    <t>discharge_port1</t>
  </si>
  <si>
    <t>discharge_port2</t>
  </si>
  <si>
    <t>QINGDAO</t>
  </si>
  <si>
    <t>CAOFEIDIAN</t>
  </si>
  <si>
    <t>TIANJIN</t>
  </si>
  <si>
    <t>KRISHNAPATNAM</t>
  </si>
  <si>
    <t>FANGCHENG</t>
  </si>
  <si>
    <t>MANGALORE</t>
  </si>
  <si>
    <t>GWANGYANG</t>
  </si>
  <si>
    <t>TELUK RUBIAH</t>
  </si>
  <si>
    <t>discharge_rate</t>
  </si>
  <si>
    <t>25,000</t>
  </si>
  <si>
    <t>discharge_turn_time_hr</t>
  </si>
  <si>
    <t>24</t>
  </si>
  <si>
    <t>12</t>
  </si>
  <si>
    <t>load_port_cost</t>
  </si>
  <si>
    <t>discharge_port_cost</t>
  </si>
  <si>
    <t>total_port_cost</t>
  </si>
  <si>
    <t>broker_commission</t>
  </si>
  <si>
    <t>3.75%</t>
  </si>
  <si>
    <t>2.50%</t>
  </si>
  <si>
    <t>charterer_commission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</si>
</sst>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164" fontId="0" fillId="0" borderId="0" xfId="0" applyNumberFormat="1"/>
    <xf numFmtId="164" fontId="1" fillId="0" borderId="0" xfId="0" applyNumberFormat="1" applyFont="1" applyAlignment="1">
      <alignment horizontal="left" vertical="center" wrapText="1" indent="1" readingOrder="1"/>
    </xf>
    <xf numFmtId="1" fontId="1" fillId="0" borderId="0" xfId="0" applyNumberFormat="1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R1" workbookViewId="0">
      <selection activeCell="U1" sqref="U1:U1048576"/>
    </sheetView>
  </sheetViews>
  <sheetFormatPr defaultRowHeight="14.4" x14ac:dyDescent="0.3"/>
  <cols>
    <col min="1" max="10" width="47.21875" customWidth="1"/>
    <col min="11" max="11" width="47.21875" style="2" customWidth="1"/>
    <col min="12" max="23" width="47.21875" customWidth="1"/>
    <col min="24" max="24" width="21.33203125" customWidth="1"/>
  </cols>
  <sheetData>
    <row r="1" spans="1:2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29</v>
      </c>
      <c r="G1" t="s">
        <v>30</v>
      </c>
      <c r="H1" t="s">
        <v>27</v>
      </c>
      <c r="I1" t="s">
        <v>31</v>
      </c>
      <c r="J1" t="s">
        <v>33</v>
      </c>
      <c r="K1" s="2" t="s">
        <v>34</v>
      </c>
      <c r="L1" s="2" t="s">
        <v>35</v>
      </c>
      <c r="M1" t="s">
        <v>44</v>
      </c>
      <c r="N1" s="1" t="s">
        <v>36</v>
      </c>
      <c r="O1" t="s">
        <v>45</v>
      </c>
      <c r="P1" t="s">
        <v>46</v>
      </c>
      <c r="Q1" s="1" t="s">
        <v>57</v>
      </c>
      <c r="R1" s="1" t="s">
        <v>58</v>
      </c>
      <c r="S1" s="1" t="s">
        <v>67</v>
      </c>
      <c r="T1" t="s">
        <v>69</v>
      </c>
      <c r="U1" t="s">
        <v>72</v>
      </c>
      <c r="V1" t="s">
        <v>73</v>
      </c>
      <c r="W1" t="s">
        <v>74</v>
      </c>
      <c r="X1" t="s">
        <v>75</v>
      </c>
      <c r="Y1" t="s">
        <v>78</v>
      </c>
    </row>
    <row r="2" spans="1:25" x14ac:dyDescent="0.3">
      <c r="A2" t="s">
        <v>16</v>
      </c>
      <c r="B2" t="s">
        <v>12</v>
      </c>
      <c r="C2" s="1" t="s">
        <v>0</v>
      </c>
      <c r="D2" s="1" t="s">
        <v>1</v>
      </c>
      <c r="E2">
        <v>170000</v>
      </c>
      <c r="F2" s="1">
        <f t="shared" ref="F2:F9" si="0">E2*(1-H2)</f>
        <v>153000</v>
      </c>
      <c r="G2" s="1">
        <f t="shared" ref="G2:G9" si="1">E2*(1+H2)</f>
        <v>187000.00000000003</v>
      </c>
      <c r="H2" s="1" t="s">
        <v>28</v>
      </c>
      <c r="I2" s="1" t="s">
        <v>32</v>
      </c>
      <c r="J2" s="1"/>
      <c r="K2" s="2">
        <v>46093</v>
      </c>
      <c r="L2" s="3">
        <v>46099</v>
      </c>
      <c r="M2" s="3"/>
      <c r="N2" s="1" t="s">
        <v>37</v>
      </c>
      <c r="O2" s="4" t="s">
        <v>51</v>
      </c>
      <c r="P2" s="4" t="s">
        <v>47</v>
      </c>
      <c r="Q2" s="1" t="s">
        <v>59</v>
      </c>
      <c r="R2" s="1"/>
      <c r="S2" s="1" t="s">
        <v>56</v>
      </c>
      <c r="T2" s="1" t="s">
        <v>70</v>
      </c>
      <c r="U2" s="1"/>
      <c r="V2" s="1"/>
      <c r="W2" s="1">
        <v>240000</v>
      </c>
      <c r="Y2" t="s">
        <v>76</v>
      </c>
    </row>
    <row r="3" spans="1:25" x14ac:dyDescent="0.3">
      <c r="A3" t="s">
        <v>17</v>
      </c>
      <c r="B3" t="s">
        <v>12</v>
      </c>
      <c r="C3" s="1" t="s">
        <v>2</v>
      </c>
      <c r="D3" s="1" t="s">
        <v>1</v>
      </c>
      <c r="E3">
        <v>190000</v>
      </c>
      <c r="F3" s="1">
        <f t="shared" si="0"/>
        <v>171000</v>
      </c>
      <c r="G3" s="1">
        <f t="shared" si="1"/>
        <v>209000.00000000003</v>
      </c>
      <c r="H3" s="1" t="s">
        <v>28</v>
      </c>
      <c r="I3" s="1" t="s">
        <v>32</v>
      </c>
      <c r="J3" s="1"/>
      <c r="K3" s="2">
        <v>46115</v>
      </c>
      <c r="L3" s="3">
        <v>46122</v>
      </c>
      <c r="M3" s="3"/>
      <c r="N3" s="1" t="s">
        <v>38</v>
      </c>
      <c r="O3" s="4" t="s">
        <v>52</v>
      </c>
      <c r="P3" s="4" t="s">
        <v>47</v>
      </c>
      <c r="Q3" s="1" t="s">
        <v>60</v>
      </c>
      <c r="R3" s="1"/>
      <c r="S3" s="1" t="s">
        <v>56</v>
      </c>
      <c r="T3" s="1" t="s">
        <v>70</v>
      </c>
      <c r="U3" s="1">
        <v>75000</v>
      </c>
      <c r="V3" s="1">
        <v>95000</v>
      </c>
      <c r="W3" s="1">
        <f>U3+V3</f>
        <v>170000</v>
      </c>
      <c r="Y3" t="s">
        <v>76</v>
      </c>
    </row>
    <row r="4" spans="1:25" x14ac:dyDescent="0.3">
      <c r="A4" t="s">
        <v>18</v>
      </c>
      <c r="B4" t="s">
        <v>12</v>
      </c>
      <c r="C4" s="1" t="s">
        <v>3</v>
      </c>
      <c r="D4" s="1" t="s">
        <v>1</v>
      </c>
      <c r="E4">
        <v>180000</v>
      </c>
      <c r="F4" s="1">
        <f t="shared" si="0"/>
        <v>162000</v>
      </c>
      <c r="G4" s="1">
        <f t="shared" si="1"/>
        <v>198000.00000000003</v>
      </c>
      <c r="H4" s="1" t="s">
        <v>28</v>
      </c>
      <c r="I4" s="1" t="s">
        <v>32</v>
      </c>
      <c r="J4" s="1"/>
      <c r="K4" s="2">
        <v>46096</v>
      </c>
      <c r="L4" s="3">
        <v>46103</v>
      </c>
      <c r="M4" s="3"/>
      <c r="N4" s="1" t="s">
        <v>39</v>
      </c>
      <c r="O4" s="4" t="s">
        <v>53</v>
      </c>
      <c r="P4" s="4" t="s">
        <v>48</v>
      </c>
      <c r="Q4" s="1" t="s">
        <v>61</v>
      </c>
      <c r="R4" s="1"/>
      <c r="S4" s="1" t="s">
        <v>68</v>
      </c>
      <c r="T4" s="1" t="s">
        <v>70</v>
      </c>
      <c r="U4" s="1"/>
      <c r="V4" s="1"/>
      <c r="W4" s="1">
        <v>180000</v>
      </c>
      <c r="Y4" t="s">
        <v>76</v>
      </c>
    </row>
    <row r="5" spans="1:25" x14ac:dyDescent="0.3">
      <c r="A5" t="s">
        <v>19</v>
      </c>
      <c r="B5" t="s">
        <v>13</v>
      </c>
      <c r="C5" s="1" t="s">
        <v>4</v>
      </c>
      <c r="D5" s="1" t="s">
        <v>5</v>
      </c>
      <c r="E5">
        <v>150000</v>
      </c>
      <c r="F5" s="1">
        <f t="shared" si="0"/>
        <v>135000</v>
      </c>
      <c r="G5" s="1">
        <f t="shared" si="1"/>
        <v>165000</v>
      </c>
      <c r="H5" s="1" t="s">
        <v>28</v>
      </c>
      <c r="I5" s="1" t="s">
        <v>32</v>
      </c>
      <c r="J5" s="1"/>
      <c r="K5" s="2">
        <v>46122</v>
      </c>
      <c r="L5" s="3">
        <v>46127</v>
      </c>
      <c r="M5" s="3"/>
      <c r="N5" s="1" t="s">
        <v>40</v>
      </c>
      <c r="O5" s="4" t="s">
        <v>54</v>
      </c>
      <c r="P5" s="4" t="s">
        <v>47</v>
      </c>
      <c r="Q5" s="1" t="s">
        <v>62</v>
      </c>
      <c r="R5" s="1"/>
      <c r="S5" s="1" t="s">
        <v>68</v>
      </c>
      <c r="T5" s="1" t="s">
        <v>70</v>
      </c>
      <c r="U5" s="1"/>
      <c r="V5" s="1"/>
      <c r="W5" s="1">
        <v>90000</v>
      </c>
      <c r="X5" t="s">
        <v>77</v>
      </c>
    </row>
    <row r="6" spans="1:25" x14ac:dyDescent="0.3">
      <c r="A6" t="s">
        <v>20</v>
      </c>
      <c r="B6" t="s">
        <v>12</v>
      </c>
      <c r="C6" s="1" t="s">
        <v>6</v>
      </c>
      <c r="D6" s="1" t="s">
        <v>7</v>
      </c>
      <c r="E6">
        <v>160000</v>
      </c>
      <c r="F6" s="1">
        <f t="shared" si="0"/>
        <v>144000</v>
      </c>
      <c r="G6" s="1">
        <f t="shared" si="1"/>
        <v>176000</v>
      </c>
      <c r="H6" s="1" t="s">
        <v>28</v>
      </c>
      <c r="I6" s="1" t="s">
        <v>32</v>
      </c>
      <c r="J6" s="1"/>
      <c r="K6" s="2">
        <v>46099</v>
      </c>
      <c r="L6" s="3">
        <v>46107</v>
      </c>
      <c r="M6" s="3"/>
      <c r="N6" s="1" t="s">
        <v>41</v>
      </c>
      <c r="O6" s="4" t="s">
        <v>55</v>
      </c>
      <c r="P6" s="4" t="s">
        <v>47</v>
      </c>
      <c r="Q6" s="1" t="s">
        <v>63</v>
      </c>
      <c r="R6" s="1"/>
      <c r="S6" s="1" t="s">
        <v>68</v>
      </c>
      <c r="T6" s="1" t="s">
        <v>70</v>
      </c>
      <c r="U6" s="1">
        <v>180000</v>
      </c>
      <c r="V6" s="1">
        <v>110000</v>
      </c>
      <c r="W6" s="1">
        <f>U6+V6</f>
        <v>290000</v>
      </c>
      <c r="Y6" t="s">
        <v>76</v>
      </c>
    </row>
    <row r="7" spans="1:25" x14ac:dyDescent="0.3">
      <c r="A7" t="s">
        <v>21</v>
      </c>
      <c r="B7" t="s">
        <v>13</v>
      </c>
      <c r="C7" s="1" t="s">
        <v>8</v>
      </c>
      <c r="D7" s="1" t="s">
        <v>9</v>
      </c>
      <c r="E7">
        <v>175000</v>
      </c>
      <c r="F7" s="1">
        <f t="shared" si="0"/>
        <v>157500</v>
      </c>
      <c r="G7" s="1">
        <f t="shared" si="1"/>
        <v>192500.00000000003</v>
      </c>
      <c r="H7" s="1" t="s">
        <v>28</v>
      </c>
      <c r="I7" s="1" t="s">
        <v>32</v>
      </c>
      <c r="J7" s="1" t="s">
        <v>49</v>
      </c>
      <c r="K7" s="2">
        <v>46122</v>
      </c>
      <c r="L7" s="3">
        <v>46130</v>
      </c>
      <c r="M7" s="3"/>
      <c r="N7" s="1" t="s">
        <v>50</v>
      </c>
      <c r="O7" s="4" t="s">
        <v>56</v>
      </c>
      <c r="P7" s="4" t="e">
        <v>#N/A</v>
      </c>
      <c r="Q7" s="1" t="s">
        <v>64</v>
      </c>
      <c r="R7" s="1"/>
      <c r="S7" s="1" t="s">
        <v>68</v>
      </c>
      <c r="T7" s="1" t="s">
        <v>71</v>
      </c>
      <c r="U7" s="1"/>
      <c r="V7" s="1"/>
      <c r="W7" s="1">
        <v>150000</v>
      </c>
      <c r="X7" t="s">
        <v>77</v>
      </c>
    </row>
    <row r="8" spans="1:25" x14ac:dyDescent="0.3">
      <c r="A8" t="s">
        <v>16</v>
      </c>
      <c r="B8" t="s">
        <v>14</v>
      </c>
      <c r="C8" s="1" t="s">
        <v>10</v>
      </c>
      <c r="D8" s="1" t="s">
        <v>1</v>
      </c>
      <c r="E8">
        <v>165000</v>
      </c>
      <c r="F8" s="1">
        <f t="shared" si="0"/>
        <v>148500</v>
      </c>
      <c r="G8" s="1">
        <f t="shared" si="1"/>
        <v>181500.00000000003</v>
      </c>
      <c r="H8" s="1" t="s">
        <v>28</v>
      </c>
      <c r="I8" s="1" t="s">
        <v>32</v>
      </c>
      <c r="J8" s="1"/>
      <c r="K8" s="2">
        <v>46090</v>
      </c>
      <c r="L8" s="3">
        <v>46096</v>
      </c>
      <c r="M8" s="3"/>
      <c r="N8" s="1" t="s">
        <v>42</v>
      </c>
      <c r="O8" s="4" t="s">
        <v>51</v>
      </c>
      <c r="P8" s="4" t="s">
        <v>47</v>
      </c>
      <c r="Q8" s="1" t="s">
        <v>65</v>
      </c>
      <c r="R8" s="1"/>
      <c r="S8" s="1" t="s">
        <v>56</v>
      </c>
      <c r="T8" s="1" t="s">
        <v>70</v>
      </c>
      <c r="U8" s="1"/>
      <c r="V8" s="1"/>
      <c r="W8" s="1">
        <v>230000</v>
      </c>
      <c r="Y8" t="s">
        <v>76</v>
      </c>
    </row>
    <row r="9" spans="1:25" x14ac:dyDescent="0.3">
      <c r="A9" t="s">
        <v>17</v>
      </c>
      <c r="B9" t="s">
        <v>15</v>
      </c>
      <c r="C9" s="1" t="s">
        <v>11</v>
      </c>
      <c r="D9" s="1" t="s">
        <v>1</v>
      </c>
      <c r="E9">
        <v>180000</v>
      </c>
      <c r="F9" s="1">
        <f t="shared" si="0"/>
        <v>162000</v>
      </c>
      <c r="G9" s="1">
        <f t="shared" si="1"/>
        <v>198000.00000000003</v>
      </c>
      <c r="H9" s="1" t="s">
        <v>28</v>
      </c>
      <c r="I9" s="1" t="s">
        <v>32</v>
      </c>
      <c r="J9" s="1"/>
      <c r="K9" s="2">
        <v>46106</v>
      </c>
      <c r="L9" s="3">
        <v>46114</v>
      </c>
      <c r="M9" s="3"/>
      <c r="N9" s="1" t="s">
        <v>43</v>
      </c>
      <c r="O9" s="4" t="s">
        <v>52</v>
      </c>
      <c r="P9" s="4" t="s">
        <v>48</v>
      </c>
      <c r="Q9" s="1" t="s">
        <v>66</v>
      </c>
      <c r="R9" s="1"/>
      <c r="S9" s="1" t="s">
        <v>68</v>
      </c>
      <c r="T9" s="1" t="s">
        <v>70</v>
      </c>
      <c r="U9" s="1">
        <v>85000</v>
      </c>
      <c r="V9" s="1">
        <v>80000</v>
      </c>
      <c r="W9" s="1">
        <f>U9+V9</f>
        <v>165000</v>
      </c>
      <c r="Y9" t="s">
        <v>76</v>
      </c>
    </row>
    <row r="14" spans="1:25" x14ac:dyDescent="0.3">
      <c r="K14" s="3"/>
    </row>
    <row r="15" spans="1:25" x14ac:dyDescent="0.3">
      <c r="K15" s="3"/>
    </row>
    <row r="16" spans="1:25" x14ac:dyDescent="0.3">
      <c r="K16" s="3"/>
    </row>
    <row r="17" spans="11:11" x14ac:dyDescent="0.3">
      <c r="K17" s="3"/>
    </row>
    <row r="18" spans="11:11" x14ac:dyDescent="0.3">
      <c r="K18" s="3"/>
    </row>
    <row r="19" spans="11:11" x14ac:dyDescent="0.3">
      <c r="K19" s="3"/>
    </row>
    <row r="20" spans="11:11" x14ac:dyDescent="0.3">
      <c r="K20" s="3"/>
    </row>
    <row r="21" spans="11:11" x14ac:dyDescent="0.3">
      <c r="K21" s="3"/>
    </row>
    <row r="22" spans="11:11" x14ac:dyDescent="0.3">
      <c r="K22" s="3"/>
    </row>
    <row r="23" spans="11:11" x14ac:dyDescent="0.3">
      <c r="K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2015-06-05T18:17:20Z</dcterms:created>
  <dcterms:modified xsi:type="dcterms:W3CDTF">2026-01-29T14:09:34Z</dcterms:modified>
</cp:coreProperties>
</file>