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Y3S2\SMU\cargill_datathon_freight_calculator_chatbot\data\"/>
    </mc:Choice>
  </mc:AlternateContent>
  <xr:revisionPtr revIDLastSave="0" documentId="13_ncr:1_{91775207-2C48-4488-A858-AD35847BB547}" xr6:coauthVersionLast="47" xr6:coauthVersionMax="47" xr10:uidLastSave="{00000000-0000-0000-0000-000000000000}"/>
  <bookViews>
    <workbookView xWindow="-108" yWindow="-108" windowWidth="23256" windowHeight="13896" xr2:uid="{16041185-FF1A-44AC-8CA7-254566FB0610}"/>
  </bookViews>
  <sheets>
    <sheet name="market_vess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2" i="1"/>
</calcChain>
</file>

<file path=xl/sharedStrings.xml><?xml version="1.0" encoding="utf-8"?>
<sst xmlns="http://schemas.openxmlformats.org/spreadsheetml/2006/main" count="55" uniqueCount="49">
  <si>
    <t>start_route</t>
  </si>
  <si>
    <t>qty_mt</t>
  </si>
  <si>
    <t>min_qty_mt</t>
  </si>
  <si>
    <t>max_qty_mt</t>
  </si>
  <si>
    <t>tolerance_pct</t>
  </si>
  <si>
    <t>option</t>
  </si>
  <si>
    <t>special_clause</t>
  </si>
  <si>
    <t>loading_rate</t>
  </si>
  <si>
    <t>loading_turn_time_hr</t>
  </si>
  <si>
    <t>discharge_rate</t>
  </si>
  <si>
    <t>discharge_turn_time_hr</t>
  </si>
  <si>
    <t>load_port_cost</t>
  </si>
  <si>
    <t>discharge_port_cost</t>
  </si>
  <si>
    <t>broker_commission</t>
  </si>
  <si>
    <t>charterer_commission</t>
  </si>
  <si>
    <t xml:space="preserve">West Africa </t>
  </si>
  <si>
    <t xml:space="preserve"> China </t>
  </si>
  <si>
    <t>EGA</t>
  </si>
  <si>
    <t>Bauxite</t>
  </si>
  <si>
    <t>Owner</t>
  </si>
  <si>
    <t xml:space="preserve">1.25% </t>
  </si>
  <si>
    <t xml:space="preserve">Australia </t>
  </si>
  <si>
    <t>BHP</t>
  </si>
  <si>
    <t>Iron Ore</t>
  </si>
  <si>
    <t xml:space="preserve"> half freight applies to any cargo loaded in excess of 176,000 MT</t>
  </si>
  <si>
    <t xml:space="preserve">3.75% </t>
  </si>
  <si>
    <t xml:space="preserve">Brazil </t>
  </si>
  <si>
    <t>CSN</t>
  </si>
  <si>
    <t>customer</t>
  </si>
  <si>
    <t>commodity</t>
  </si>
  <si>
    <t>freight_rate</t>
  </si>
  <si>
    <t xml:space="preserve">22.30 </t>
  </si>
  <si>
    <t>latest_date</t>
  </si>
  <si>
    <t>earliest_date</t>
  </si>
  <si>
    <t>discharge_port2</t>
  </si>
  <si>
    <t>discharge_port1</t>
  </si>
  <si>
    <t>Chinese</t>
  </si>
  <si>
    <t>Far East</t>
  </si>
  <si>
    <t xml:space="preserve"> Anchorage Loading</t>
  </si>
  <si>
    <t>freight offer base 17.8M draft</t>
  </si>
  <si>
    <t>KAMSAR ANCHORAGE</t>
  </si>
  <si>
    <t>PORT HEDLAND</t>
  </si>
  <si>
    <t>ITAGUAI</t>
  </si>
  <si>
    <t>QINGDAO</t>
  </si>
  <si>
    <t>LIANYUNGANG</t>
  </si>
  <si>
    <t>end_route</t>
  </si>
  <si>
    <t>MOLOO</t>
  </si>
  <si>
    <t>load_port</t>
  </si>
  <si>
    <t>total_port_cost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</si>
</sst>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4A88-483C-4287-871A-7E299D864160}">
  <dimension ref="A1:Y4"/>
  <sheetViews>
    <sheetView tabSelected="1" topLeftCell="T1" workbookViewId="0">
      <selection activeCell="Y1" sqref="Y1"/>
    </sheetView>
  </sheetViews>
  <sheetFormatPr defaultRowHeight="14.4" x14ac:dyDescent="0.3"/>
  <cols>
    <col min="1" max="9" width="38.33203125" customWidth="1"/>
    <col min="10" max="10" width="53.77734375" customWidth="1"/>
    <col min="11" max="16" width="38.33203125" customWidth="1"/>
    <col min="17" max="18" width="69.6640625" customWidth="1"/>
    <col min="19" max="24" width="38.33203125" customWidth="1"/>
  </cols>
  <sheetData>
    <row r="1" spans="1:25" x14ac:dyDescent="0.3">
      <c r="A1" t="s">
        <v>0</v>
      </c>
      <c r="B1" t="s">
        <v>45</v>
      </c>
      <c r="C1" t="s">
        <v>28</v>
      </c>
      <c r="D1" t="s">
        <v>29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33</v>
      </c>
      <c r="L1" t="s">
        <v>32</v>
      </c>
      <c r="M1" t="s">
        <v>30</v>
      </c>
      <c r="N1" t="s">
        <v>47</v>
      </c>
      <c r="O1" t="s">
        <v>7</v>
      </c>
      <c r="P1" t="s">
        <v>8</v>
      </c>
      <c r="Q1" t="s">
        <v>35</v>
      </c>
      <c r="R1" t="s">
        <v>34</v>
      </c>
      <c r="S1" t="s">
        <v>9</v>
      </c>
      <c r="T1" t="s">
        <v>10</v>
      </c>
      <c r="U1" t="s">
        <v>11</v>
      </c>
      <c r="V1" t="s">
        <v>12</v>
      </c>
      <c r="W1" t="s">
        <v>48</v>
      </c>
      <c r="X1" t="s">
        <v>13</v>
      </c>
      <c r="Y1" t="s">
        <v>14</v>
      </c>
    </row>
    <row r="2" spans="1:25" x14ac:dyDescent="0.3">
      <c r="A2" t="s">
        <v>15</v>
      </c>
      <c r="B2" t="s">
        <v>16</v>
      </c>
      <c r="C2" t="s">
        <v>17</v>
      </c>
      <c r="D2" t="s">
        <v>18</v>
      </c>
      <c r="E2">
        <v>180000</v>
      </c>
      <c r="F2">
        <v>162000</v>
      </c>
      <c r="G2">
        <v>198000</v>
      </c>
      <c r="H2" s="1">
        <v>0.1</v>
      </c>
      <c r="I2" t="s">
        <v>19</v>
      </c>
      <c r="J2" t="s">
        <v>38</v>
      </c>
      <c r="K2" s="2">
        <v>46114</v>
      </c>
      <c r="L2" s="2">
        <v>46122</v>
      </c>
      <c r="M2">
        <v>23</v>
      </c>
      <c r="N2" t="s">
        <v>40</v>
      </c>
      <c r="O2">
        <v>30000</v>
      </c>
      <c r="P2">
        <v>12</v>
      </c>
      <c r="Q2" t="s">
        <v>43</v>
      </c>
      <c r="R2" t="s">
        <v>36</v>
      </c>
      <c r="S2">
        <v>25000</v>
      </c>
      <c r="T2">
        <v>12</v>
      </c>
      <c r="W2">
        <f>U2+V2</f>
        <v>0</v>
      </c>
      <c r="X2" t="s">
        <v>20</v>
      </c>
    </row>
    <row r="3" spans="1:25" x14ac:dyDescent="0.3">
      <c r="A3" t="s">
        <v>21</v>
      </c>
      <c r="B3" t="s">
        <v>16</v>
      </c>
      <c r="C3" t="s">
        <v>22</v>
      </c>
      <c r="D3" t="s">
        <v>23</v>
      </c>
      <c r="E3">
        <v>160000</v>
      </c>
      <c r="F3">
        <v>144000</v>
      </c>
      <c r="G3">
        <v>176000</v>
      </c>
      <c r="H3" s="1">
        <v>0.1</v>
      </c>
      <c r="I3" t="s">
        <v>19</v>
      </c>
      <c r="J3" t="s">
        <v>24</v>
      </c>
      <c r="K3" s="2">
        <v>46088</v>
      </c>
      <c r="L3" s="2">
        <v>46092</v>
      </c>
      <c r="M3">
        <v>9</v>
      </c>
      <c r="N3" t="s">
        <v>41</v>
      </c>
      <c r="O3">
        <v>80000</v>
      </c>
      <c r="P3">
        <v>12</v>
      </c>
      <c r="Q3" t="s">
        <v>44</v>
      </c>
      <c r="S3">
        <v>30000</v>
      </c>
      <c r="T3">
        <v>24</v>
      </c>
      <c r="U3">
        <v>260000</v>
      </c>
      <c r="V3">
        <v>120000</v>
      </c>
      <c r="W3">
        <f t="shared" ref="W3:W4" si="0">U3+V3</f>
        <v>380000</v>
      </c>
      <c r="Y3" t="s">
        <v>25</v>
      </c>
    </row>
    <row r="4" spans="1:25" x14ac:dyDescent="0.3">
      <c r="A4" t="s">
        <v>26</v>
      </c>
      <c r="B4" t="s">
        <v>16</v>
      </c>
      <c r="C4" t="s">
        <v>27</v>
      </c>
      <c r="D4" t="s">
        <v>23</v>
      </c>
      <c r="E4">
        <v>180000</v>
      </c>
      <c r="F4">
        <v>162000</v>
      </c>
      <c r="G4">
        <v>198000</v>
      </c>
      <c r="H4" s="1">
        <v>0.1</v>
      </c>
      <c r="I4" t="s">
        <v>46</v>
      </c>
      <c r="J4" t="s">
        <v>39</v>
      </c>
      <c r="K4" s="2">
        <v>46113</v>
      </c>
      <c r="L4" s="2">
        <v>46120</v>
      </c>
      <c r="M4" t="s">
        <v>31</v>
      </c>
      <c r="N4" t="s">
        <v>42</v>
      </c>
      <c r="O4">
        <v>60000</v>
      </c>
      <c r="P4">
        <v>6</v>
      </c>
      <c r="Q4" t="s">
        <v>43</v>
      </c>
      <c r="R4" t="s">
        <v>37</v>
      </c>
      <c r="S4">
        <v>30000</v>
      </c>
      <c r="T4">
        <v>24</v>
      </c>
      <c r="U4">
        <v>75000</v>
      </c>
      <c r="V4">
        <v>90000</v>
      </c>
      <c r="W4">
        <f t="shared" si="0"/>
        <v>165000</v>
      </c>
      <c r="Y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market_vessel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asus</cp:lastModifiedBy>
  <dcterms:created xsi:type="dcterms:W3CDTF">2026-01-28T16:56:17Z</dcterms:created>
  <dcterms:modified xsi:type="dcterms:W3CDTF">2026-01-29T13:55:21Z</dcterms:modified>
</cp:coreProperties>
</file>